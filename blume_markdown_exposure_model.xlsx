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Markdown Exposure Mod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<sst xmlns="http://schemas.openxmlformats.org/spreadsheetml/2006/main" count="182" uniqueCount="115">
  <si>
    <t xml:space="preserve">title</t>
  </si>
  <si>
    <t xml:space="preserve">vendor</t>
  </si>
  <si>
    <t xml:space="preserve">product_type</t>
  </si>
  <si>
    <t xml:space="preserve">price_min</t>
  </si>
  <si>
    <t xml:space="preserve">price_max</t>
  </si>
  <si>
    <t xml:space="preserve">compare_at_price</t>
  </si>
  <si>
    <t xml:space="preserve">on_sale</t>
  </si>
  <si>
    <t xml:space="preserve">available</t>
  </si>
  <si>
    <t xml:space="preserve">fully_out_of_stock</t>
  </si>
  <si>
    <t xml:space="preserve">variant_count</t>
  </si>
  <si>
    <t xml:space="preserve">url</t>
  </si>
  <si>
    <t xml:space="preserve">discount_pct</t>
  </si>
  <si>
    <t xml:space="preserve">Amazon Prime Day PR Kit</t>
  </si>
  <si>
    <t xml:space="preserve">blume-box</t>
  </si>
  <si>
    <t xml:space="preserve">Skin Care</t>
  </si>
  <si>
    <t xml:space="preserve">https://meetblume.com/products/amazon-prime-day-pr-kit</t>
  </si>
  <si>
    <t xml:space="preserve">Blume's 8th Birthday PR Kit</t>
  </si>
  <si>
    <t xml:space="preserve">https://meetblume.com/products/blumes-8th-birthday-pr-kit</t>
  </si>
  <si>
    <t xml:space="preserve">Ulta Beauty PR Kit</t>
  </si>
  <si>
    <t xml:space="preserve">https://meetblume.com/products/ulta-beauty-pr-kit</t>
  </si>
  <si>
    <t xml:space="preserve">Blume's 8th Birthday Party: In Full Blume</t>
  </si>
  <si>
    <t xml:space="preserve">Blume</t>
  </si>
  <si>
    <t xml:space="preserve">Event</t>
  </si>
  <si>
    <t xml:space="preserve">https://meetblume.com/products/blumes-8th-birthday-party-in-full-blume-at-the-gardens</t>
  </si>
  <si>
    <t xml:space="preserve">Clear Skin Kit PR Kit</t>
  </si>
  <si>
    <t xml:space="preserve">https://meetblume.com/products/glow-on-the-go-pr-kit</t>
  </si>
  <si>
    <t xml:space="preserve">Meltdown Daily Balancing Gel Cleanser</t>
  </si>
  <si>
    <t xml:space="preserve">https://meetblume.com/products/meltdown-daily-balancing-gel-cleanser</t>
  </si>
  <si>
    <t xml:space="preserve">Blume Buddy Bag Charm Blind Box</t>
  </si>
  <si>
    <t xml:space="preserve">https://meetblume.com/products/blume-buddy-teddy-bear-bag-charm-blind-box</t>
  </si>
  <si>
    <t xml:space="preserve">Meltdown Acne Oil Treatment</t>
  </si>
  <si>
    <t xml:space="preserve">Unlisted</t>
  </si>
  <si>
    <t xml:space="preserve">https://meetblume.com/products/meltdown-acne-oil-7</t>
  </si>
  <si>
    <t xml:space="preserve">https://meetblume.com/products/meltdown-acne-oil-3</t>
  </si>
  <si>
    <t xml:space="preserve">Glow &amp; Fade Kit</t>
  </si>
  <si>
    <t xml:space="preserve">Bundle</t>
  </si>
  <si>
    <t xml:space="preserve">https://meetblume.com/products/glow-fade-kit</t>
  </si>
  <si>
    <t xml:space="preserve">Calming Hydration Kit</t>
  </si>
  <si>
    <t xml:space="preserve">https://meetblume.com/products/calming-hydration-kit</t>
  </si>
  <si>
    <t xml:space="preserve">Glass Skin Kit</t>
  </si>
  <si>
    <t xml:space="preserve">https://meetblume.com/products/glass-skin-kit</t>
  </si>
  <si>
    <t xml:space="preserve">Pearl Drip Soothing + Hydration Milky Toner</t>
  </si>
  <si>
    <t xml:space="preserve">https://meetblume.com/products/pearl-drip-hydration-and-calming-milky-toner</t>
  </si>
  <si>
    <t xml:space="preserve">Hydration Heroes Kit</t>
  </si>
  <si>
    <t xml:space="preserve">https://meetblume.com/products/hydration-heroes-kit</t>
  </si>
  <si>
    <t xml:space="preserve">24 Superbalm Bubblegum</t>
  </si>
  <si>
    <t xml:space="preserve">https://meetblume.com/products/24-superbalm-bubblegum</t>
  </si>
  <si>
    <t xml:space="preserve">Fresh Face Edit</t>
  </si>
  <si>
    <t xml:space="preserve">https://meetblume.com/products/fresh-face-edit</t>
  </si>
  <si>
    <t xml:space="preserve">The Ultimate Clear Skin Edit</t>
  </si>
  <si>
    <t xml:space="preserve">https://meetblume.com/products/the-ultimate-clear-skin-edit</t>
  </si>
  <si>
    <t xml:space="preserve">Superbalm Tripeptide-1 Lip Tint in Wild Plum</t>
  </si>
  <si>
    <t xml:space="preserve">https://meetblume.com/products/superbalm-tripeptide-1-lip-tint-in-plum</t>
  </si>
  <si>
    <t xml:space="preserve">Blume Lip Balm Trio Kit</t>
  </si>
  <si>
    <t xml:space="preserve">https://meetblume.com/products/superbalm-trio-kit-vanilla-toffee-plum</t>
  </si>
  <si>
    <t xml:space="preserve">Milky Fade Serum with Niacinamide for Spots &amp; Scars</t>
  </si>
  <si>
    <t xml:space="preserve">https://meetblume.com/products/milky-fade-serum-with-niacinamide-for-spots-scars</t>
  </si>
  <si>
    <t xml:space="preserve">Superbalm Tripeptide-1 Lip Tint in Bubblegum</t>
  </si>
  <si>
    <t xml:space="preserve">https://meetblume.com/products/superbalm-tripeptide-1-lip-tint-in-bubblegum</t>
  </si>
  <si>
    <t xml:space="preserve">Sunburst Mineral SPF 50 Sunscreen</t>
  </si>
  <si>
    <t xml:space="preserve">https://meetblume.com/products/sunburst-mineral-spf-50-sunscreen</t>
  </si>
  <si>
    <t xml:space="preserve">Superbalm Tripeptide-1 Vanilla Lip Balm</t>
  </si>
  <si>
    <t xml:space="preserve">https://meetblume.com/products/superbalm-tripeptide-vanilla-lip-squeeze</t>
  </si>
  <si>
    <t xml:space="preserve">Superbalm Duo: Vanilla &amp; Toffee</t>
  </si>
  <si>
    <t xml:space="preserve">https://meetblume.com/products/superbalm-duo-vanilla-toffee</t>
  </si>
  <si>
    <t xml:space="preserve">Superbalm Tripeptide-1 Lip Tint in Toffee</t>
  </si>
  <si>
    <t xml:space="preserve">https://meetblume.com/products/superbalm-tripeptide-1-toffee-lip-tint</t>
  </si>
  <si>
    <t xml:space="preserve">Meltdown Gel Cream with Ceramides</t>
  </si>
  <si>
    <t xml:space="preserve">https://meetblume.com/products/meltdown-gel-cream-with-ceramides</t>
  </si>
  <si>
    <t xml:space="preserve">https://meetblume.com/products/superbalm</t>
  </si>
  <si>
    <t xml:space="preserve">Cloud 9 Cramp Oil</t>
  </si>
  <si>
    <t xml:space="preserve">Skin Care Rollers</t>
  </si>
  <si>
    <t xml:space="preserve">https://meetblume.com/products/cloud9</t>
  </si>
  <si>
    <t xml:space="preserve">https://meetblume.com/products/sunburst-mineral-spf-50</t>
  </si>
  <si>
    <t xml:space="preserve">Clear Skin Kit: Acne Essentials</t>
  </si>
  <si>
    <t xml:space="preserve">https://meetblume.com/products/clear-skin-kit-3</t>
  </si>
  <si>
    <t xml:space="preserve">https://meetblume.com/products/meltdown-gel-cleanser-made-with-salicylic-acid</t>
  </si>
  <si>
    <t xml:space="preserve">Blume Babies: Travel Size Kit</t>
  </si>
  <si>
    <t xml:space="preserve">https://meetblume.com/products/blume-babies</t>
  </si>
  <si>
    <t xml:space="preserve">Treat &amp; Hydrate Kit</t>
  </si>
  <si>
    <t xml:space="preserve">https://meetblume.com/products/treat-hydrate-kit</t>
  </si>
  <si>
    <t xml:space="preserve">https://meetblume.com/products/meltdown-gel-cream-for-acne-prone-skin</t>
  </si>
  <si>
    <t xml:space="preserve">Blume — Markdown &amp; Stockout Exposure Model</t>
  </si>
  <si>
    <t xml:space="preserve">Source: live Shopify catalog snapshot, 34 SKUs (see Data tab)</t>
  </si>
  <si>
    <t xml:space="preserve">ASSUMPTIONS (editable inputs — blue cells)</t>
  </si>
  <si>
    <t xml:space="preserve">Estimated avg units sold per SKU per month</t>
  </si>
  <si>
    <t xml:space="preserve">Adjust to your assumption — drives all revenue-impact figures below</t>
  </si>
  <si>
    <t xml:space="preserve">Inventory holding cost rate (annual, % of stock value)</t>
  </si>
  <si>
    <t xml:space="preserve">Industry standard range 20-25% — used for stockout-related carrying cost</t>
  </si>
  <si>
    <t xml:space="preserve">Benchmark on-sale rate (blume-box vendor line, Query 7)</t>
  </si>
  <si>
    <t xml:space="preserve">Used as the 'healthy' on-sale rate target for the Blume bundle line</t>
  </si>
  <si>
    <t xml:space="preserve">CATALOG SNAPSHOT (from Data tab — Query-derived)</t>
  </si>
  <si>
    <t xml:space="preserve">Total SKUs in catalog</t>
  </si>
  <si>
    <t xml:space="preserve">Total catalog value (sum of price_min)</t>
  </si>
  <si>
    <t xml:space="preserve">Average price per SKU</t>
  </si>
  <si>
    <t xml:space="preserve">SKUs on sale (all vendors)</t>
  </si>
  <si>
    <t xml:space="preserve">SKUs fully out of stock</t>
  </si>
  <si>
    <t xml:space="preserve">VENDOR-LINE COMPARISON (Query 7 finding)</t>
  </si>
  <si>
    <t xml:space="preserve">Blume (bundles)</t>
  </si>
  <si>
    <t xml:space="preserve">Total SKUs</t>
  </si>
  <si>
    <t xml:space="preserve">SKUs on sale</t>
  </si>
  <si>
    <t xml:space="preserve">On-sale rate</t>
  </si>
  <si>
    <t xml:space="preserve">Avg price</t>
  </si>
  <si>
    <t xml:space="preserve">Avg discount % on on-sale SKUs</t>
  </si>
  <si>
    <t xml:space="preserve">SCENARIO — IF BLUME LINE'S ON-SALE RATE MATCHED THE BENCHMARK</t>
  </si>
  <si>
    <t xml:space="preserve">Excess SKUs currently on sale vs benchmark</t>
  </si>
  <si>
    <t xml:space="preserve">Avg discount amount per excess SKU ($)</t>
  </si>
  <si>
    <t xml:space="preserve">Monthly revenue recoverable (excess SKUs × discount $ × units/mo)</t>
  </si>
  <si>
    <t xml:space="preserve">Annualized revenue recoverable</t>
  </si>
  <si>
    <t xml:space="preserve">STOCKOUT EXPOSURE (Query 4 finding)</t>
  </si>
  <si>
    <t xml:space="preserve">Bundle SKUs out of stock (Query 4: 3 of 11)</t>
  </si>
  <si>
    <t xml:space="preserve">Avg bundle price</t>
  </si>
  <si>
    <t xml:space="preserve">Estimated monthly revenue lost to OOS bundles</t>
  </si>
  <si>
    <t xml:space="preserve">Annualized revenue lost to OOS bundles</t>
  </si>
  <si>
    <t xml:space="preserve">Note: 'units sold per month' (B5) is an assumption since the dataset is a point-in-time catalog snapshot with no transaction history. Change B5 to stress-test the model.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</si>
</sst>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u val="single"/>
      <sz val="11"/>
      <color theme="10"/>
      <name val="Calibri"/>
      <family val="2"/>
      <charset val="1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F2D0"/>
        <bgColor rgb="FFCCFFFF"/>
      </patternFill>
    </fill>
    <fill>
      <patternFill patternType="solid">
        <fgColor rgb="FFFCE4E4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eetblume.com/products/amazon-prime-day-pr-kit" TargetMode="External"/><Relationship Id="rId2" Type="http://schemas.openxmlformats.org/officeDocument/2006/relationships/hyperlink" Target="https://meetblume.com/products/blumes-8th-birthday-pr-kit" TargetMode="External"/><Relationship Id="rId3" Type="http://schemas.openxmlformats.org/officeDocument/2006/relationships/hyperlink" Target="https://meetblume.com/products/ulta-beauty-pr-kit" TargetMode="External"/><Relationship Id="rId4" Type="http://schemas.openxmlformats.org/officeDocument/2006/relationships/hyperlink" Target="https://meetblume.com/products/blumes-8th-birthday-party-in-full-blume-at-the-gardens" TargetMode="External"/><Relationship Id="rId5" Type="http://schemas.openxmlformats.org/officeDocument/2006/relationships/hyperlink" Target="https://meetblume.com/products/glow-on-the-go-pr-kit" TargetMode="External"/><Relationship Id="rId6" Type="http://schemas.openxmlformats.org/officeDocument/2006/relationships/hyperlink" Target="https://meetblume.com/products/meltdown-daily-balancing-gel-cleanser" TargetMode="External"/><Relationship Id="rId7" Type="http://schemas.openxmlformats.org/officeDocument/2006/relationships/hyperlink" Target="https://meetblume.com/products/blume-buddy-teddy-bear-bag-charm-blind-box" TargetMode="External"/><Relationship Id="rId8" Type="http://schemas.openxmlformats.org/officeDocument/2006/relationships/hyperlink" Target="https://meetblume.com/products/meltdown-acne-oil-7" TargetMode="External"/><Relationship Id="rId9" Type="http://schemas.openxmlformats.org/officeDocument/2006/relationships/hyperlink" Target="https://meetblume.com/products/meltdown-acne-oil-3" TargetMode="External"/><Relationship Id="rId10" Type="http://schemas.openxmlformats.org/officeDocument/2006/relationships/hyperlink" Target="https://meetblume.com/products/glow-fade-kit" TargetMode="External"/><Relationship Id="rId11" Type="http://schemas.openxmlformats.org/officeDocument/2006/relationships/hyperlink" Target="https://meetblume.com/products/calming-hydration-kit" TargetMode="External"/><Relationship Id="rId12" Type="http://schemas.openxmlformats.org/officeDocument/2006/relationships/hyperlink" Target="https://meetblume.com/products/glass-skin-kit" TargetMode="External"/><Relationship Id="rId13" Type="http://schemas.openxmlformats.org/officeDocument/2006/relationships/hyperlink" Target="https://meetblume.com/products/pearl-drip-hydration-and-calming-milky-toner" TargetMode="External"/><Relationship Id="rId14" Type="http://schemas.openxmlformats.org/officeDocument/2006/relationships/hyperlink" Target="https://meetblume.com/products/hydration-heroes-kit" TargetMode="External"/><Relationship Id="rId15" Type="http://schemas.openxmlformats.org/officeDocument/2006/relationships/hyperlink" Target="https://meetblume.com/products/24-superbalm-bubblegum" TargetMode="External"/><Relationship Id="rId16" Type="http://schemas.openxmlformats.org/officeDocument/2006/relationships/hyperlink" Target="https://meetblume.com/products/fresh-face-edit" TargetMode="External"/><Relationship Id="rId17" Type="http://schemas.openxmlformats.org/officeDocument/2006/relationships/hyperlink" Target="https://meetblume.com/products/the-ultimate-clear-skin-edit" TargetMode="External"/><Relationship Id="rId18" Type="http://schemas.openxmlformats.org/officeDocument/2006/relationships/hyperlink" Target="https://meetblume.com/products/superbalm-tripeptide-1-lip-tint-in-plum" TargetMode="External"/><Relationship Id="rId19" Type="http://schemas.openxmlformats.org/officeDocument/2006/relationships/hyperlink" Target="https://meetblume.com/products/superbalm-trio-kit-vanilla-toffee-plum" TargetMode="External"/><Relationship Id="rId20" Type="http://schemas.openxmlformats.org/officeDocument/2006/relationships/hyperlink" Target="https://meetblume.com/products/milky-fade-serum-with-niacinamide-for-spots-scars" TargetMode="External"/><Relationship Id="rId21" Type="http://schemas.openxmlformats.org/officeDocument/2006/relationships/hyperlink" Target="https://meetblume.com/products/superbalm-tripeptide-1-lip-tint-in-bubblegum" TargetMode="External"/><Relationship Id="rId22" Type="http://schemas.openxmlformats.org/officeDocument/2006/relationships/hyperlink" Target="https://meetblume.com/products/sunburst-mineral-spf-50-sunscreen" TargetMode="External"/><Relationship Id="rId23" Type="http://schemas.openxmlformats.org/officeDocument/2006/relationships/hyperlink" Target="https://meetblume.com/products/superbalm-tripeptide-vanilla-lip-squeeze" TargetMode="External"/><Relationship Id="rId24" Type="http://schemas.openxmlformats.org/officeDocument/2006/relationships/hyperlink" Target="https://meetblume.com/products/superbalm-duo-vanilla-toffee" TargetMode="External"/><Relationship Id="rId25" Type="http://schemas.openxmlformats.org/officeDocument/2006/relationships/hyperlink" Target="https://meetblume.com/products/superbalm-tripeptide-1-toffee-lip-tint" TargetMode="External"/><Relationship Id="rId26" Type="http://schemas.openxmlformats.org/officeDocument/2006/relationships/hyperlink" Target="https://meetblume.com/products/meltdown-gel-cream-with-ceramides" TargetMode="External"/><Relationship Id="rId27" Type="http://schemas.openxmlformats.org/officeDocument/2006/relationships/hyperlink" Target="https://meetblume.com/products/superbalm" TargetMode="External"/><Relationship Id="rId28" Type="http://schemas.openxmlformats.org/officeDocument/2006/relationships/hyperlink" Target="https://meetblume.com/products/cloud9" TargetMode="External"/><Relationship Id="rId29" Type="http://schemas.openxmlformats.org/officeDocument/2006/relationships/hyperlink" Target="https://meetblume.com/products/sunburst-mineral-spf-50" TargetMode="External"/><Relationship Id="rId30" Type="http://schemas.openxmlformats.org/officeDocument/2006/relationships/hyperlink" Target="https://meetblume.com/products/clear-skin-kit-3" TargetMode="External"/><Relationship Id="rId31" Type="http://schemas.openxmlformats.org/officeDocument/2006/relationships/hyperlink" Target="https://meetblume.com/products/meltdown-gel-cleanser-made-with-salicylic-acid" TargetMode="External"/><Relationship Id="rId32" Type="http://schemas.openxmlformats.org/officeDocument/2006/relationships/hyperlink" Target="https://meetblume.com/products/blume-babies" TargetMode="External"/><Relationship Id="rId33" Type="http://schemas.openxmlformats.org/officeDocument/2006/relationships/hyperlink" Target="https://meetblume.com/products/treat-hydrate-kit" TargetMode="External"/><Relationship Id="rId34" Type="http://schemas.openxmlformats.org/officeDocument/2006/relationships/hyperlink" Target="https://meetblume.com/products/meltdown-gel-cream-for-acne-prone-ski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0" min="2" style="0" width="16"/>
    <col collapsed="false" customWidth="true" hidden="false" outlineLevel="0" max="11" min="11" style="0" width="45"/>
    <col collapsed="false" customWidth="true" hidden="false" outlineLevel="0" max="12" min="12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0" t="n">
        <v>175</v>
      </c>
      <c r="E2" s="0" t="n">
        <v>175</v>
      </c>
      <c r="G2" s="2" t="b">
        <f aca="false">FALSE()</f>
        <v>0</v>
      </c>
      <c r="H2" s="2" t="b">
        <f aca="false">TRUE()</f>
        <v>1</v>
      </c>
      <c r="I2" s="2" t="b">
        <f aca="false">FALSE()</f>
        <v>0</v>
      </c>
      <c r="J2" s="0" t="n">
        <v>1</v>
      </c>
      <c r="K2" s="3" t="s">
        <v>15</v>
      </c>
    </row>
    <row r="3" customFormat="false" ht="15" hidden="false" customHeight="false" outlineLevel="0" collapsed="false">
      <c r="A3" s="0" t="s">
        <v>16</v>
      </c>
      <c r="B3" s="0" t="s">
        <v>13</v>
      </c>
      <c r="C3" s="0" t="s">
        <v>14</v>
      </c>
      <c r="D3" s="0" t="n">
        <v>200</v>
      </c>
      <c r="E3" s="0" t="n">
        <v>200</v>
      </c>
      <c r="G3" s="2" t="b">
        <f aca="false">FALSE()</f>
        <v>0</v>
      </c>
      <c r="H3" s="2" t="b">
        <f aca="false">TRUE()</f>
        <v>1</v>
      </c>
      <c r="I3" s="2" t="b">
        <f aca="false">FALSE()</f>
        <v>0</v>
      </c>
      <c r="J3" s="0" t="n">
        <v>1</v>
      </c>
      <c r="K3" s="3" t="s">
        <v>17</v>
      </c>
    </row>
    <row r="4" customFormat="false" ht="15" hidden="false" customHeight="false" outlineLevel="0" collapsed="false">
      <c r="A4" s="0" t="s">
        <v>18</v>
      </c>
      <c r="B4" s="0" t="s">
        <v>13</v>
      </c>
      <c r="C4" s="0" t="s">
        <v>14</v>
      </c>
      <c r="D4" s="0" t="n">
        <v>175</v>
      </c>
      <c r="E4" s="0" t="n">
        <v>175</v>
      </c>
      <c r="G4" s="2" t="b">
        <f aca="false">FALSE()</f>
        <v>0</v>
      </c>
      <c r="H4" s="2" t="b">
        <f aca="false">TRUE()</f>
        <v>1</v>
      </c>
      <c r="I4" s="2" t="b">
        <f aca="false">FALSE()</f>
        <v>0</v>
      </c>
      <c r="J4" s="0" t="n">
        <v>1</v>
      </c>
      <c r="K4" s="3" t="s">
        <v>19</v>
      </c>
    </row>
    <row r="5" customFormat="false" ht="15" hidden="false" customHeight="false" outlineLevel="0" collapsed="false">
      <c r="A5" s="0" t="s">
        <v>20</v>
      </c>
      <c r="B5" s="0" t="s">
        <v>21</v>
      </c>
      <c r="C5" s="0" t="s">
        <v>22</v>
      </c>
      <c r="D5" s="0" t="n">
        <v>55</v>
      </c>
      <c r="E5" s="0" t="n">
        <v>55</v>
      </c>
      <c r="G5" s="2" t="b">
        <f aca="false">FALSE()</f>
        <v>0</v>
      </c>
      <c r="H5" s="2" t="b">
        <f aca="false">FALSE()</f>
        <v>0</v>
      </c>
      <c r="I5" s="2" t="b">
        <f aca="false">TRUE()</f>
        <v>1</v>
      </c>
      <c r="J5" s="0" t="n">
        <v>1</v>
      </c>
      <c r="K5" s="3" t="s">
        <v>23</v>
      </c>
    </row>
    <row r="6" customFormat="false" ht="15" hidden="false" customHeight="false" outlineLevel="0" collapsed="false">
      <c r="A6" s="0" t="s">
        <v>24</v>
      </c>
      <c r="B6" s="0" t="s">
        <v>13</v>
      </c>
      <c r="C6" s="0" t="s">
        <v>14</v>
      </c>
      <c r="D6" s="0" t="n">
        <v>85</v>
      </c>
      <c r="E6" s="0" t="n">
        <v>85</v>
      </c>
      <c r="G6" s="2" t="b">
        <f aca="false">FALSE()</f>
        <v>0</v>
      </c>
      <c r="H6" s="2" t="b">
        <f aca="false">TRUE()</f>
        <v>1</v>
      </c>
      <c r="I6" s="2" t="b">
        <f aca="false">FALSE()</f>
        <v>0</v>
      </c>
      <c r="J6" s="0" t="n">
        <v>1</v>
      </c>
      <c r="K6" s="3" t="s">
        <v>25</v>
      </c>
    </row>
    <row r="7" customFormat="false" ht="15" hidden="false" customHeight="false" outlineLevel="0" collapsed="false">
      <c r="A7" s="0" t="s">
        <v>26</v>
      </c>
      <c r="B7" s="0" t="s">
        <v>13</v>
      </c>
      <c r="C7" s="0" t="s">
        <v>14</v>
      </c>
      <c r="D7" s="0" t="n">
        <v>86.4</v>
      </c>
      <c r="E7" s="0" t="n">
        <v>159.36</v>
      </c>
      <c r="F7" s="0" t="n">
        <v>192</v>
      </c>
      <c r="G7" s="2" t="b">
        <f aca="false">TRUE()</f>
        <v>1</v>
      </c>
      <c r="H7" s="2" t="b">
        <f aca="false">TRUE()</f>
        <v>1</v>
      </c>
      <c r="I7" s="2" t="b">
        <f aca="false">FALSE()</f>
        <v>0</v>
      </c>
      <c r="J7" s="0" t="n">
        <v>2</v>
      </c>
      <c r="K7" s="3" t="s">
        <v>27</v>
      </c>
      <c r="L7" s="0" t="n">
        <v>55</v>
      </c>
    </row>
    <row r="8" customFormat="false" ht="15" hidden="false" customHeight="false" outlineLevel="0" collapsed="false">
      <c r="A8" s="0" t="s">
        <v>28</v>
      </c>
      <c r="B8" s="0" t="s">
        <v>13</v>
      </c>
      <c r="C8" s="0" t="s">
        <v>14</v>
      </c>
      <c r="D8" s="0" t="n">
        <v>11</v>
      </c>
      <c r="E8" s="0" t="n">
        <v>11</v>
      </c>
      <c r="G8" s="2" t="b">
        <f aca="false">FALSE()</f>
        <v>0</v>
      </c>
      <c r="H8" s="2" t="b">
        <f aca="false">FALSE()</f>
        <v>0</v>
      </c>
      <c r="I8" s="2" t="b">
        <f aca="false">TRUE()</f>
        <v>1</v>
      </c>
      <c r="J8" s="0" t="n">
        <v>1</v>
      </c>
      <c r="K8" s="3" t="s">
        <v>29</v>
      </c>
    </row>
    <row r="9" customFormat="false" ht="15" hidden="false" customHeight="false" outlineLevel="0" collapsed="false">
      <c r="A9" s="0" t="s">
        <v>30</v>
      </c>
      <c r="B9" s="0" t="s">
        <v>13</v>
      </c>
      <c r="C9" s="0" t="s">
        <v>31</v>
      </c>
      <c r="D9" s="0" t="n">
        <v>52</v>
      </c>
      <c r="E9" s="0" t="n">
        <v>179</v>
      </c>
      <c r="F9" s="0" t="n">
        <v>312</v>
      </c>
      <c r="G9" s="2" t="b">
        <f aca="false">TRUE()</f>
        <v>1</v>
      </c>
      <c r="H9" s="2" t="b">
        <f aca="false">TRUE()</f>
        <v>1</v>
      </c>
      <c r="I9" s="2" t="b">
        <f aca="false">FALSE()</f>
        <v>0</v>
      </c>
      <c r="J9" s="0" t="n">
        <v>3</v>
      </c>
      <c r="K9" s="3" t="s">
        <v>32</v>
      </c>
      <c r="L9" s="0" t="n">
        <v>83.3</v>
      </c>
    </row>
    <row r="10" customFormat="false" ht="15" hidden="false" customHeight="false" outlineLevel="0" collapsed="false">
      <c r="A10" s="0" t="s">
        <v>30</v>
      </c>
      <c r="B10" s="0" t="s">
        <v>13</v>
      </c>
      <c r="C10" s="0" t="s">
        <v>31</v>
      </c>
      <c r="D10" s="0" t="n">
        <v>52</v>
      </c>
      <c r="E10" s="0" t="n">
        <v>52</v>
      </c>
      <c r="G10" s="2" t="b">
        <f aca="false">FALSE()</f>
        <v>0</v>
      </c>
      <c r="H10" s="2" t="b">
        <f aca="false">TRUE()</f>
        <v>1</v>
      </c>
      <c r="I10" s="2" t="b">
        <f aca="false">FALSE()</f>
        <v>0</v>
      </c>
      <c r="J10" s="0" t="n">
        <v>1</v>
      </c>
      <c r="K10" s="3" t="s">
        <v>33</v>
      </c>
    </row>
    <row r="11" customFormat="false" ht="15" hidden="false" customHeight="false" outlineLevel="0" collapsed="false">
      <c r="A11" s="0" t="s">
        <v>34</v>
      </c>
      <c r="B11" s="0" t="s">
        <v>21</v>
      </c>
      <c r="C11" s="0" t="s">
        <v>35</v>
      </c>
      <c r="D11" s="0" t="n">
        <v>66.4</v>
      </c>
      <c r="E11" s="0" t="n">
        <v>66.4</v>
      </c>
      <c r="F11" s="0" t="n">
        <v>83</v>
      </c>
      <c r="G11" s="2" t="b">
        <f aca="false">TRUE()</f>
        <v>1</v>
      </c>
      <c r="H11" s="2" t="b">
        <f aca="false">TRUE()</f>
        <v>1</v>
      </c>
      <c r="I11" s="2" t="b">
        <f aca="false">FALSE()</f>
        <v>0</v>
      </c>
      <c r="J11" s="0" t="n">
        <v>1</v>
      </c>
      <c r="K11" s="3" t="s">
        <v>36</v>
      </c>
      <c r="L11" s="0" t="n">
        <v>20</v>
      </c>
    </row>
    <row r="12" customFormat="false" ht="15" hidden="false" customHeight="false" outlineLevel="0" collapsed="false">
      <c r="A12" s="0" t="s">
        <v>37</v>
      </c>
      <c r="B12" s="0" t="s">
        <v>21</v>
      </c>
      <c r="C12" s="0" t="s">
        <v>35</v>
      </c>
      <c r="D12" s="0" t="n">
        <v>51.2</v>
      </c>
      <c r="E12" s="0" t="n">
        <v>51.2</v>
      </c>
      <c r="F12" s="0" t="n">
        <v>64</v>
      </c>
      <c r="G12" s="2" t="b">
        <f aca="false">TRUE()</f>
        <v>1</v>
      </c>
      <c r="H12" s="2" t="b">
        <f aca="false">TRUE()</f>
        <v>1</v>
      </c>
      <c r="I12" s="2" t="b">
        <f aca="false">FALSE()</f>
        <v>0</v>
      </c>
      <c r="J12" s="0" t="n">
        <v>1</v>
      </c>
      <c r="K12" s="3" t="s">
        <v>38</v>
      </c>
      <c r="L12" s="0" t="n">
        <v>20</v>
      </c>
    </row>
    <row r="13" customFormat="false" ht="15" hidden="false" customHeight="false" outlineLevel="0" collapsed="false">
      <c r="A13" s="0" t="s">
        <v>39</v>
      </c>
      <c r="B13" s="0" t="s">
        <v>21</v>
      </c>
      <c r="C13" s="0" t="s">
        <v>35</v>
      </c>
      <c r="D13" s="0" t="n">
        <v>88.8</v>
      </c>
      <c r="E13" s="0" t="n">
        <v>88.8</v>
      </c>
      <c r="F13" s="0" t="n">
        <v>111</v>
      </c>
      <c r="G13" s="2" t="b">
        <f aca="false">TRUE()</f>
        <v>1</v>
      </c>
      <c r="H13" s="2" t="b">
        <f aca="false">FALSE()</f>
        <v>0</v>
      </c>
      <c r="I13" s="2" t="b">
        <f aca="false">TRUE()</f>
        <v>1</v>
      </c>
      <c r="J13" s="0" t="n">
        <v>1</v>
      </c>
      <c r="K13" s="3" t="s">
        <v>40</v>
      </c>
      <c r="L13" s="0" t="n">
        <v>20</v>
      </c>
    </row>
    <row r="14" customFormat="false" ht="15" hidden="false" customHeight="false" outlineLevel="0" collapsed="false">
      <c r="A14" s="0" t="s">
        <v>41</v>
      </c>
      <c r="B14" s="0" t="s">
        <v>13</v>
      </c>
      <c r="C14" s="0" t="s">
        <v>14</v>
      </c>
      <c r="D14" s="0" t="n">
        <v>36</v>
      </c>
      <c r="E14" s="0" t="n">
        <v>36</v>
      </c>
      <c r="G14" s="2" t="b">
        <f aca="false">FALSE()</f>
        <v>0</v>
      </c>
      <c r="H14" s="2" t="b">
        <f aca="false">TRUE()</f>
        <v>1</v>
      </c>
      <c r="I14" s="2" t="b">
        <f aca="false">FALSE()</f>
        <v>0</v>
      </c>
      <c r="J14" s="0" t="n">
        <v>1</v>
      </c>
      <c r="K14" s="3" t="s">
        <v>42</v>
      </c>
    </row>
    <row r="15" customFormat="false" ht="15" hidden="false" customHeight="false" outlineLevel="0" collapsed="false">
      <c r="A15" s="0" t="s">
        <v>43</v>
      </c>
      <c r="B15" s="0" t="s">
        <v>21</v>
      </c>
      <c r="C15" s="0" t="s">
        <v>35</v>
      </c>
      <c r="D15" s="0" t="n">
        <v>38.4</v>
      </c>
      <c r="E15" s="0" t="n">
        <v>38.4</v>
      </c>
      <c r="F15" s="0" t="n">
        <v>48</v>
      </c>
      <c r="G15" s="2" t="b">
        <f aca="false">TRUE()</f>
        <v>1</v>
      </c>
      <c r="H15" s="2" t="b">
        <f aca="false">FALSE()</f>
        <v>0</v>
      </c>
      <c r="I15" s="2" t="b">
        <f aca="false">TRUE()</f>
        <v>1</v>
      </c>
      <c r="J15" s="0" t="n">
        <v>1</v>
      </c>
      <c r="K15" s="3" t="s">
        <v>44</v>
      </c>
      <c r="L15" s="0" t="n">
        <v>20</v>
      </c>
    </row>
    <row r="16" customFormat="false" ht="15" hidden="false" customHeight="false" outlineLevel="0" collapsed="false">
      <c r="A16" s="0" t="s">
        <v>45</v>
      </c>
      <c r="B16" s="0" t="s">
        <v>21</v>
      </c>
      <c r="C16" s="0" t="s">
        <v>31</v>
      </c>
      <c r="D16" s="0" t="n">
        <v>480</v>
      </c>
      <c r="E16" s="0" t="n">
        <v>480</v>
      </c>
      <c r="G16" s="2" t="b">
        <f aca="false">FALSE()</f>
        <v>0</v>
      </c>
      <c r="H16" s="2" t="b">
        <f aca="false">TRUE()</f>
        <v>1</v>
      </c>
      <c r="I16" s="2" t="b">
        <f aca="false">FALSE()</f>
        <v>0</v>
      </c>
      <c r="J16" s="0" t="n">
        <v>1</v>
      </c>
      <c r="K16" s="3" t="s">
        <v>46</v>
      </c>
    </row>
    <row r="17" customFormat="false" ht="15" hidden="false" customHeight="false" outlineLevel="0" collapsed="false">
      <c r="A17" s="0" t="s">
        <v>47</v>
      </c>
      <c r="B17" s="0" t="s">
        <v>21</v>
      </c>
      <c r="C17" s="0" t="s">
        <v>35</v>
      </c>
      <c r="D17" s="0" t="n">
        <v>55</v>
      </c>
      <c r="E17" s="0" t="n">
        <v>55</v>
      </c>
      <c r="F17" s="0" t="n">
        <v>79</v>
      </c>
      <c r="G17" s="2" t="b">
        <f aca="false">TRUE()</f>
        <v>1</v>
      </c>
      <c r="H17" s="2" t="b">
        <f aca="false">FALSE()</f>
        <v>0</v>
      </c>
      <c r="I17" s="2" t="b">
        <f aca="false">TRUE()</f>
        <v>1</v>
      </c>
      <c r="J17" s="0" t="n">
        <v>1</v>
      </c>
      <c r="K17" s="3" t="s">
        <v>48</v>
      </c>
      <c r="L17" s="0" t="n">
        <v>30.4</v>
      </c>
    </row>
    <row r="18" customFormat="false" ht="15" hidden="false" customHeight="false" outlineLevel="0" collapsed="false">
      <c r="A18" s="0" t="s">
        <v>49</v>
      </c>
      <c r="B18" s="0" t="s">
        <v>21</v>
      </c>
      <c r="C18" s="0" t="s">
        <v>35</v>
      </c>
      <c r="D18" s="0" t="n">
        <v>95</v>
      </c>
      <c r="E18" s="0" t="n">
        <v>95</v>
      </c>
      <c r="F18" s="0" t="n">
        <v>192</v>
      </c>
      <c r="G18" s="2" t="b">
        <f aca="false">TRUE()</f>
        <v>1</v>
      </c>
      <c r="H18" s="2" t="b">
        <f aca="false">TRUE()</f>
        <v>1</v>
      </c>
      <c r="I18" s="2" t="b">
        <f aca="false">FALSE()</f>
        <v>0</v>
      </c>
      <c r="J18" s="0" t="n">
        <v>1</v>
      </c>
      <c r="K18" s="3" t="s">
        <v>50</v>
      </c>
      <c r="L18" s="0" t="n">
        <v>50.5</v>
      </c>
    </row>
    <row r="19" customFormat="false" ht="15" hidden="false" customHeight="false" outlineLevel="0" collapsed="false">
      <c r="A19" s="0" t="s">
        <v>51</v>
      </c>
      <c r="B19" s="0" t="s">
        <v>13</v>
      </c>
      <c r="C19" s="0" t="s">
        <v>14</v>
      </c>
      <c r="D19" s="0" t="n">
        <v>20</v>
      </c>
      <c r="E19" s="0" t="n">
        <v>20</v>
      </c>
      <c r="G19" s="2" t="b">
        <f aca="false">FALSE()</f>
        <v>0</v>
      </c>
      <c r="H19" s="2" t="b">
        <f aca="false">TRUE()</f>
        <v>1</v>
      </c>
      <c r="I19" s="2" t="b">
        <f aca="false">FALSE()</f>
        <v>0</v>
      </c>
      <c r="J19" s="0" t="n">
        <v>1</v>
      </c>
      <c r="K19" s="3" t="s">
        <v>52</v>
      </c>
    </row>
    <row r="20" customFormat="false" ht="15" hidden="false" customHeight="false" outlineLevel="0" collapsed="false">
      <c r="A20" s="0" t="s">
        <v>53</v>
      </c>
      <c r="B20" s="0" t="s">
        <v>21</v>
      </c>
      <c r="C20" s="0" t="s">
        <v>35</v>
      </c>
      <c r="D20" s="0" t="n">
        <v>40</v>
      </c>
      <c r="E20" s="0" t="n">
        <v>40</v>
      </c>
      <c r="F20" s="0" t="n">
        <v>60</v>
      </c>
      <c r="G20" s="2" t="b">
        <f aca="false">TRUE()</f>
        <v>1</v>
      </c>
      <c r="H20" s="2" t="b">
        <f aca="false">TRUE()</f>
        <v>1</v>
      </c>
      <c r="I20" s="2" t="b">
        <f aca="false">FALSE()</f>
        <v>0</v>
      </c>
      <c r="J20" s="0" t="n">
        <v>1</v>
      </c>
      <c r="K20" s="3" t="s">
        <v>54</v>
      </c>
      <c r="L20" s="0" t="n">
        <v>33.3</v>
      </c>
    </row>
    <row r="21" customFormat="false" ht="15" hidden="false" customHeight="false" outlineLevel="0" collapsed="false">
      <c r="A21" s="0" t="s">
        <v>55</v>
      </c>
      <c r="B21" s="0" t="s">
        <v>13</v>
      </c>
      <c r="C21" s="0" t="s">
        <v>14</v>
      </c>
      <c r="D21" s="0" t="n">
        <v>47</v>
      </c>
      <c r="E21" s="0" t="n">
        <v>98</v>
      </c>
      <c r="F21" s="0" t="n">
        <v>141</v>
      </c>
      <c r="G21" s="2" t="b">
        <f aca="false">TRUE()</f>
        <v>1</v>
      </c>
      <c r="H21" s="2" t="b">
        <f aca="false">TRUE()</f>
        <v>1</v>
      </c>
      <c r="I21" s="2" t="b">
        <f aca="false">FALSE()</f>
        <v>0</v>
      </c>
      <c r="J21" s="0" t="n">
        <v>3</v>
      </c>
      <c r="K21" s="3" t="s">
        <v>56</v>
      </c>
      <c r="L21" s="0" t="n">
        <v>66.7</v>
      </c>
    </row>
    <row r="22" customFormat="false" ht="15" hidden="false" customHeight="false" outlineLevel="0" collapsed="false">
      <c r="A22" s="0" t="s">
        <v>57</v>
      </c>
      <c r="B22" s="0" t="s">
        <v>13</v>
      </c>
      <c r="C22" s="0" t="s">
        <v>14</v>
      </c>
      <c r="D22" s="0" t="n">
        <v>20</v>
      </c>
      <c r="E22" s="0" t="n">
        <v>20</v>
      </c>
      <c r="G22" s="2" t="b">
        <f aca="false">FALSE()</f>
        <v>0</v>
      </c>
      <c r="H22" s="2" t="b">
        <f aca="false">TRUE()</f>
        <v>1</v>
      </c>
      <c r="I22" s="2" t="b">
        <f aca="false">FALSE()</f>
        <v>0</v>
      </c>
      <c r="J22" s="0" t="n">
        <v>1</v>
      </c>
      <c r="K22" s="3" t="s">
        <v>58</v>
      </c>
    </row>
    <row r="23" customFormat="false" ht="15" hidden="false" customHeight="false" outlineLevel="0" collapsed="false">
      <c r="A23" s="0" t="s">
        <v>59</v>
      </c>
      <c r="B23" s="0" t="s">
        <v>13</v>
      </c>
      <c r="C23" s="0" t="s">
        <v>14</v>
      </c>
      <c r="D23" s="0" t="n">
        <v>70</v>
      </c>
      <c r="E23" s="0" t="n">
        <v>96</v>
      </c>
      <c r="F23" s="0" t="n">
        <v>160</v>
      </c>
      <c r="G23" s="2" t="b">
        <f aca="false">TRUE()</f>
        <v>1</v>
      </c>
      <c r="H23" s="2" t="b">
        <f aca="false">TRUE()</f>
        <v>1</v>
      </c>
      <c r="I23" s="2" t="b">
        <f aca="false">FALSE()</f>
        <v>0</v>
      </c>
      <c r="J23" s="0" t="n">
        <v>3</v>
      </c>
      <c r="K23" s="3" t="s">
        <v>60</v>
      </c>
      <c r="L23" s="0" t="n">
        <v>56.2</v>
      </c>
    </row>
    <row r="24" customFormat="false" ht="15" hidden="false" customHeight="false" outlineLevel="0" collapsed="false">
      <c r="A24" s="0" t="s">
        <v>61</v>
      </c>
      <c r="B24" s="0" t="s">
        <v>13</v>
      </c>
      <c r="C24" s="0" t="s">
        <v>14</v>
      </c>
      <c r="D24" s="0" t="n">
        <v>20</v>
      </c>
      <c r="E24" s="0" t="n">
        <v>20</v>
      </c>
      <c r="G24" s="2" t="b">
        <f aca="false">FALSE()</f>
        <v>0</v>
      </c>
      <c r="H24" s="2" t="b">
        <f aca="false">TRUE()</f>
        <v>1</v>
      </c>
      <c r="I24" s="2" t="b">
        <f aca="false">FALSE()</f>
        <v>0</v>
      </c>
      <c r="J24" s="0" t="n">
        <v>1</v>
      </c>
      <c r="K24" s="3" t="s">
        <v>62</v>
      </c>
    </row>
    <row r="25" customFormat="false" ht="15" hidden="false" customHeight="false" outlineLevel="0" collapsed="false">
      <c r="A25" s="0" t="s">
        <v>63</v>
      </c>
      <c r="B25" s="0" t="s">
        <v>21</v>
      </c>
      <c r="C25" s="0" t="s">
        <v>35</v>
      </c>
      <c r="D25" s="0" t="n">
        <v>36</v>
      </c>
      <c r="E25" s="0" t="n">
        <v>36</v>
      </c>
      <c r="F25" s="0" t="n">
        <v>40</v>
      </c>
      <c r="G25" s="2" t="b">
        <f aca="false">TRUE()</f>
        <v>1</v>
      </c>
      <c r="H25" s="2" t="b">
        <f aca="false">TRUE()</f>
        <v>1</v>
      </c>
      <c r="I25" s="2" t="b">
        <f aca="false">FALSE()</f>
        <v>0</v>
      </c>
      <c r="J25" s="0" t="n">
        <v>1</v>
      </c>
      <c r="K25" s="3" t="s">
        <v>64</v>
      </c>
      <c r="L25" s="0" t="n">
        <v>10</v>
      </c>
    </row>
    <row r="26" customFormat="false" ht="15" hidden="false" customHeight="false" outlineLevel="0" collapsed="false">
      <c r="A26" s="0" t="s">
        <v>65</v>
      </c>
      <c r="B26" s="0" t="s">
        <v>13</v>
      </c>
      <c r="C26" s="0" t="s">
        <v>14</v>
      </c>
      <c r="D26" s="0" t="n">
        <v>20</v>
      </c>
      <c r="E26" s="0" t="n">
        <v>20</v>
      </c>
      <c r="G26" s="2" t="b">
        <f aca="false">FALSE()</f>
        <v>0</v>
      </c>
      <c r="H26" s="2" t="b">
        <f aca="false">TRUE()</f>
        <v>1</v>
      </c>
      <c r="I26" s="2" t="b">
        <f aca="false">FALSE()</f>
        <v>0</v>
      </c>
      <c r="J26" s="0" t="n">
        <v>1</v>
      </c>
      <c r="K26" s="3" t="s">
        <v>66</v>
      </c>
    </row>
    <row r="27" customFormat="false" ht="15" hidden="false" customHeight="false" outlineLevel="0" collapsed="false">
      <c r="A27" s="0" t="s">
        <v>67</v>
      </c>
      <c r="B27" s="0" t="s">
        <v>13</v>
      </c>
      <c r="C27" s="0" t="s">
        <v>14</v>
      </c>
      <c r="D27" s="0" t="n">
        <v>28</v>
      </c>
      <c r="E27" s="0" t="n">
        <v>110</v>
      </c>
      <c r="F27" s="0" t="n">
        <v>168</v>
      </c>
      <c r="G27" s="2" t="b">
        <f aca="false">TRUE()</f>
        <v>1</v>
      </c>
      <c r="H27" s="2" t="b">
        <f aca="false">TRUE()</f>
        <v>1</v>
      </c>
      <c r="I27" s="2" t="b">
        <f aca="false">FALSE()</f>
        <v>0</v>
      </c>
      <c r="J27" s="0" t="n">
        <v>3</v>
      </c>
      <c r="K27" s="3" t="s">
        <v>68</v>
      </c>
      <c r="L27" s="0" t="n">
        <v>83.3</v>
      </c>
    </row>
    <row r="28" customFormat="false" ht="15" hidden="false" customHeight="false" outlineLevel="0" collapsed="false">
      <c r="A28" s="0" t="s">
        <v>61</v>
      </c>
      <c r="B28" s="0" t="s">
        <v>13</v>
      </c>
      <c r="C28" s="0" t="s">
        <v>14</v>
      </c>
      <c r="D28" s="0" t="n">
        <v>20</v>
      </c>
      <c r="E28" s="0" t="n">
        <v>20</v>
      </c>
      <c r="G28" s="2" t="b">
        <f aca="false">FALSE()</f>
        <v>0</v>
      </c>
      <c r="H28" s="2" t="b">
        <f aca="false">TRUE()</f>
        <v>1</v>
      </c>
      <c r="I28" s="2" t="b">
        <f aca="false">FALSE()</f>
        <v>0</v>
      </c>
      <c r="J28" s="0" t="n">
        <v>1</v>
      </c>
      <c r="K28" s="3" t="s">
        <v>69</v>
      </c>
    </row>
    <row r="29" customFormat="false" ht="15" hidden="false" customHeight="false" outlineLevel="0" collapsed="false">
      <c r="A29" s="0" t="s">
        <v>70</v>
      </c>
      <c r="B29" s="0" t="s">
        <v>13</v>
      </c>
      <c r="C29" s="0" t="s">
        <v>71</v>
      </c>
      <c r="D29" s="0" t="n">
        <v>20</v>
      </c>
      <c r="E29" s="0" t="n">
        <v>20</v>
      </c>
      <c r="G29" s="2" t="b">
        <f aca="false">FALSE()</f>
        <v>0</v>
      </c>
      <c r="H29" s="2" t="b">
        <f aca="false">TRUE()</f>
        <v>1</v>
      </c>
      <c r="I29" s="2" t="b">
        <f aca="false">FALSE()</f>
        <v>0</v>
      </c>
      <c r="J29" s="0" t="n">
        <v>1</v>
      </c>
      <c r="K29" s="3" t="s">
        <v>72</v>
      </c>
    </row>
    <row r="30" customFormat="false" ht="15" hidden="false" customHeight="false" outlineLevel="0" collapsed="false">
      <c r="A30" s="0" t="s">
        <v>59</v>
      </c>
      <c r="B30" s="0" t="s">
        <v>13</v>
      </c>
      <c r="C30" s="0" t="s">
        <v>14</v>
      </c>
      <c r="D30" s="0" t="n">
        <v>40</v>
      </c>
      <c r="E30" s="0" t="n">
        <v>40</v>
      </c>
      <c r="G30" s="2" t="b">
        <f aca="false">FALSE()</f>
        <v>0</v>
      </c>
      <c r="H30" s="2" t="b">
        <f aca="false">TRUE()</f>
        <v>1</v>
      </c>
      <c r="I30" s="2" t="b">
        <f aca="false">FALSE()</f>
        <v>0</v>
      </c>
      <c r="J30" s="0" t="n">
        <v>1</v>
      </c>
      <c r="K30" s="3" t="s">
        <v>73</v>
      </c>
    </row>
    <row r="31" customFormat="false" ht="15" hidden="false" customHeight="false" outlineLevel="0" collapsed="false">
      <c r="A31" s="0" t="s">
        <v>74</v>
      </c>
      <c r="B31" s="0" t="s">
        <v>21</v>
      </c>
      <c r="C31" s="0" t="s">
        <v>35</v>
      </c>
      <c r="D31" s="0" t="n">
        <v>75</v>
      </c>
      <c r="E31" s="0" t="n">
        <v>75</v>
      </c>
      <c r="F31" s="0" t="n">
        <v>132</v>
      </c>
      <c r="G31" s="2" t="b">
        <f aca="false">TRUE()</f>
        <v>1</v>
      </c>
      <c r="H31" s="2" t="b">
        <f aca="false">TRUE()</f>
        <v>1</v>
      </c>
      <c r="I31" s="2" t="b">
        <f aca="false">FALSE()</f>
        <v>0</v>
      </c>
      <c r="J31" s="0" t="n">
        <v>1</v>
      </c>
      <c r="K31" s="3" t="s">
        <v>75</v>
      </c>
      <c r="L31" s="0" t="n">
        <v>43.2</v>
      </c>
    </row>
    <row r="32" customFormat="false" ht="15" hidden="false" customHeight="false" outlineLevel="0" collapsed="false">
      <c r="A32" s="0" t="s">
        <v>26</v>
      </c>
      <c r="B32" s="0" t="s">
        <v>13</v>
      </c>
      <c r="C32" s="0" t="s">
        <v>14</v>
      </c>
      <c r="D32" s="0" t="n">
        <v>32</v>
      </c>
      <c r="E32" s="0" t="n">
        <v>32</v>
      </c>
      <c r="G32" s="2" t="b">
        <f aca="false">FALSE()</f>
        <v>0</v>
      </c>
      <c r="H32" s="2" t="b">
        <f aca="false">TRUE()</f>
        <v>1</v>
      </c>
      <c r="I32" s="2" t="b">
        <f aca="false">FALSE()</f>
        <v>0</v>
      </c>
      <c r="J32" s="0" t="n">
        <v>1</v>
      </c>
      <c r="K32" s="3" t="s">
        <v>76</v>
      </c>
    </row>
    <row r="33" customFormat="false" ht="15" hidden="false" customHeight="false" outlineLevel="0" collapsed="false">
      <c r="A33" s="0" t="s">
        <v>77</v>
      </c>
      <c r="B33" s="0" t="s">
        <v>21</v>
      </c>
      <c r="C33" s="0" t="s">
        <v>35</v>
      </c>
      <c r="D33" s="0" t="n">
        <v>29.4</v>
      </c>
      <c r="E33" s="0" t="n">
        <v>29.4</v>
      </c>
      <c r="F33" s="0" t="n">
        <v>56</v>
      </c>
      <c r="G33" s="2" t="b">
        <f aca="false">TRUE()</f>
        <v>1</v>
      </c>
      <c r="H33" s="2" t="b">
        <f aca="false">TRUE()</f>
        <v>1</v>
      </c>
      <c r="I33" s="2" t="b">
        <f aca="false">FALSE()</f>
        <v>0</v>
      </c>
      <c r="J33" s="0" t="n">
        <v>1</v>
      </c>
      <c r="K33" s="3" t="s">
        <v>78</v>
      </c>
      <c r="L33" s="0" t="n">
        <v>47.5</v>
      </c>
    </row>
    <row r="34" customFormat="false" ht="15" hidden="false" customHeight="false" outlineLevel="0" collapsed="false">
      <c r="A34" s="0" t="s">
        <v>79</v>
      </c>
      <c r="B34" s="0" t="s">
        <v>21</v>
      </c>
      <c r="C34" s="0" t="s">
        <v>35</v>
      </c>
      <c r="D34" s="0" t="n">
        <v>45</v>
      </c>
      <c r="E34" s="0" t="n">
        <v>45</v>
      </c>
      <c r="F34" s="0" t="n">
        <v>58</v>
      </c>
      <c r="G34" s="2" t="b">
        <f aca="false">TRUE()</f>
        <v>1</v>
      </c>
      <c r="H34" s="2" t="b">
        <f aca="false">TRUE()</f>
        <v>1</v>
      </c>
      <c r="I34" s="2" t="b">
        <f aca="false">FALSE()</f>
        <v>0</v>
      </c>
      <c r="J34" s="0" t="n">
        <v>1</v>
      </c>
      <c r="K34" s="3" t="s">
        <v>80</v>
      </c>
      <c r="L34" s="0" t="n">
        <v>22.4</v>
      </c>
    </row>
    <row r="35" customFormat="false" ht="15" hidden="false" customHeight="false" outlineLevel="0" collapsed="false">
      <c r="A35" s="0" t="s">
        <v>67</v>
      </c>
      <c r="B35" s="0" t="s">
        <v>13</v>
      </c>
      <c r="C35" s="0" t="s">
        <v>14</v>
      </c>
      <c r="D35" s="0" t="n">
        <v>28</v>
      </c>
      <c r="E35" s="0" t="n">
        <v>28</v>
      </c>
      <c r="G35" s="2" t="b">
        <f aca="false">FALSE()</f>
        <v>0</v>
      </c>
      <c r="H35" s="2" t="b">
        <f aca="false">TRUE()</f>
        <v>1</v>
      </c>
      <c r="I35" s="2" t="b">
        <f aca="false">FALSE()</f>
        <v>0</v>
      </c>
      <c r="J35" s="0" t="n">
        <v>1</v>
      </c>
      <c r="K35" s="3" t="s">
        <v>81</v>
      </c>
    </row>
  </sheetData>
  <hyperlinks>
    <hyperlink ref="K2" r:id="rId1" display="https://meetblume.com/products/amazon-prime-day-pr-kit"/>
    <hyperlink ref="K3" r:id="rId2" display="https://meetblume.com/products/blumes-8th-birthday-pr-kit"/>
    <hyperlink ref="K4" r:id="rId3" display="https://meetblume.com/products/ulta-beauty-pr-kit"/>
    <hyperlink ref="K5" r:id="rId4" display="https://meetblume.com/products/blumes-8th-birthday-party-in-full-blume-at-the-gardens"/>
    <hyperlink ref="K6" r:id="rId5" display="https://meetblume.com/products/glow-on-the-go-pr-kit"/>
    <hyperlink ref="K7" r:id="rId6" display="https://meetblume.com/products/meltdown-daily-balancing-gel-cleanser"/>
    <hyperlink ref="K8" r:id="rId7" display="https://meetblume.com/products/blume-buddy-teddy-bear-bag-charm-blind-box"/>
    <hyperlink ref="K9" r:id="rId8" display="https://meetblume.com/products/meltdown-acne-oil-7"/>
    <hyperlink ref="K10" r:id="rId9" display="https://meetblume.com/products/meltdown-acne-oil-3"/>
    <hyperlink ref="K11" r:id="rId10" display="https://meetblume.com/products/glow-fade-kit"/>
    <hyperlink ref="K12" r:id="rId11" display="https://meetblume.com/products/calming-hydration-kit"/>
    <hyperlink ref="K13" r:id="rId12" display="https://meetblume.com/products/glass-skin-kit"/>
    <hyperlink ref="K14" r:id="rId13" display="https://meetblume.com/products/pearl-drip-hydration-and-calming-milky-toner"/>
    <hyperlink ref="K15" r:id="rId14" display="https://meetblume.com/products/hydration-heroes-kit"/>
    <hyperlink ref="K16" r:id="rId15" display="https://meetblume.com/products/24-superbalm-bubblegum"/>
    <hyperlink ref="K17" r:id="rId16" display="https://meetblume.com/products/fresh-face-edit"/>
    <hyperlink ref="K18" r:id="rId17" display="https://meetblume.com/products/the-ultimate-clear-skin-edit"/>
    <hyperlink ref="K19" r:id="rId18" display="https://meetblume.com/products/superbalm-tripeptide-1-lip-tint-in-plum"/>
    <hyperlink ref="K20" r:id="rId19" display="https://meetblume.com/products/superbalm-trio-kit-vanilla-toffee-plum"/>
    <hyperlink ref="K21" r:id="rId20" display="https://meetblume.com/products/milky-fade-serum-with-niacinamide-for-spots-scars"/>
    <hyperlink ref="K22" r:id="rId21" display="https://meetblume.com/products/superbalm-tripeptide-1-lip-tint-in-bubblegum"/>
    <hyperlink ref="K23" r:id="rId22" display="https://meetblume.com/products/sunburst-mineral-spf-50-sunscreen"/>
    <hyperlink ref="K24" r:id="rId23" display="https://meetblume.com/products/superbalm-tripeptide-vanilla-lip-squeeze"/>
    <hyperlink ref="K25" r:id="rId24" display="https://meetblume.com/products/superbalm-duo-vanilla-toffee"/>
    <hyperlink ref="K26" r:id="rId25" display="https://meetblume.com/products/superbalm-tripeptide-1-toffee-lip-tint"/>
    <hyperlink ref="K27" r:id="rId26" display="https://meetblume.com/products/meltdown-gel-cream-with-ceramides"/>
    <hyperlink ref="K28" r:id="rId27" display="https://meetblume.com/products/superbalm"/>
    <hyperlink ref="K29" r:id="rId28" display="https://meetblume.com/products/cloud9"/>
    <hyperlink ref="K30" r:id="rId29" display="https://meetblume.com/products/sunburst-mineral-spf-50"/>
    <hyperlink ref="K31" r:id="rId30" display="https://meetblume.com/products/clear-skin-kit-3"/>
    <hyperlink ref="K32" r:id="rId31" display="https://meetblume.com/products/meltdown-gel-cleanser-made-with-salicylic-acid"/>
    <hyperlink ref="K33" r:id="rId32" display="https://meetblume.com/products/blume-babies"/>
    <hyperlink ref="K34" r:id="rId33" display="https://meetblume.com/products/treat-hydrate-kit"/>
    <hyperlink ref="K35" r:id="rId34" display="https://meetblume.com/products/meltdown-gel-cream-for-acne-prone-skin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6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4" t="s">
        <v>82</v>
      </c>
    </row>
    <row r="2" customFormat="false" ht="15" hidden="false" customHeight="false" outlineLevel="0" collapsed="false">
      <c r="A2" s="5" t="s">
        <v>83</v>
      </c>
    </row>
    <row r="4" customFormat="false" ht="15" hidden="false" customHeight="false" outlineLevel="0" collapsed="false">
      <c r="A4" s="6" t="s">
        <v>84</v>
      </c>
      <c r="B4" s="6"/>
      <c r="C4" s="6"/>
      <c r="D4" s="6"/>
    </row>
    <row r="5" customFormat="false" ht="15" hidden="false" customHeight="false" outlineLevel="0" collapsed="false">
      <c r="A5" s="7" t="s">
        <v>85</v>
      </c>
      <c r="B5" s="8" t="n">
        <v>30</v>
      </c>
      <c r="D5" s="5" t="s">
        <v>86</v>
      </c>
    </row>
    <row r="6" customFormat="false" ht="15" hidden="false" customHeight="false" outlineLevel="0" collapsed="false">
      <c r="A6" s="7" t="s">
        <v>87</v>
      </c>
      <c r="B6" s="9" t="n">
        <v>0.22</v>
      </c>
      <c r="D6" s="5" t="s">
        <v>88</v>
      </c>
    </row>
    <row r="7" customFormat="false" ht="15" hidden="false" customHeight="false" outlineLevel="0" collapsed="false">
      <c r="A7" s="7" t="s">
        <v>89</v>
      </c>
      <c r="B7" s="9" t="n">
        <v>0.238</v>
      </c>
      <c r="D7" s="5" t="s">
        <v>90</v>
      </c>
    </row>
    <row r="9" customFormat="false" ht="15" hidden="false" customHeight="false" outlineLevel="0" collapsed="false">
      <c r="A9" s="6" t="s">
        <v>91</v>
      </c>
      <c r="B9" s="6"/>
      <c r="C9" s="6"/>
      <c r="D9" s="6"/>
    </row>
    <row r="10" customFormat="false" ht="15" hidden="false" customHeight="false" outlineLevel="0" collapsed="false">
      <c r="A10" s="7" t="s">
        <v>92</v>
      </c>
      <c r="B10" s="10" t="n">
        <f aca="false">COUNTA(Data!A2:A35)</f>
        <v>34</v>
      </c>
    </row>
    <row r="11" customFormat="false" ht="15" hidden="false" customHeight="false" outlineLevel="0" collapsed="false">
      <c r="A11" s="7" t="s">
        <v>93</v>
      </c>
      <c r="B11" s="11" t="n">
        <f aca="false">SUM(Data!D2:D35)</f>
        <v>2392.6</v>
      </c>
    </row>
    <row r="12" customFormat="false" ht="15" hidden="false" customHeight="false" outlineLevel="0" collapsed="false">
      <c r="A12" s="7" t="s">
        <v>94</v>
      </c>
      <c r="B12" s="11" t="n">
        <f aca="false">AVERAGE(Data!D2:D35)</f>
        <v>70.3705882352941</v>
      </c>
    </row>
    <row r="13" customFormat="false" ht="15" hidden="false" customHeight="false" outlineLevel="0" collapsed="false">
      <c r="A13" s="7" t="s">
        <v>95</v>
      </c>
      <c r="B13" s="10" t="n">
        <f aca="false">COUNTIF(Data!G2:G35,TRUE())</f>
        <v>16</v>
      </c>
    </row>
    <row r="14" customFormat="false" ht="15" hidden="false" customHeight="false" outlineLevel="0" collapsed="false">
      <c r="A14" s="7" t="s">
        <v>96</v>
      </c>
      <c r="B14" s="10" t="n">
        <f aca="false">COUNTIF(Data!I2:I35,TRUE())</f>
        <v>5</v>
      </c>
    </row>
    <row r="16" customFormat="false" ht="15" hidden="false" customHeight="false" outlineLevel="0" collapsed="false">
      <c r="A16" s="6" t="s">
        <v>97</v>
      </c>
      <c r="B16" s="6"/>
      <c r="C16" s="6"/>
      <c r="D16" s="6"/>
    </row>
    <row r="17" customFormat="false" ht="15" hidden="false" customHeight="false" outlineLevel="0" collapsed="false">
      <c r="A17" s="12"/>
      <c r="B17" s="12" t="s">
        <v>98</v>
      </c>
      <c r="C17" s="12" t="s">
        <v>13</v>
      </c>
    </row>
    <row r="18" customFormat="false" ht="15" hidden="false" customHeight="false" outlineLevel="0" collapsed="false">
      <c r="A18" s="7" t="s">
        <v>99</v>
      </c>
      <c r="B18" s="10" t="n">
        <f aca="false">COUNTIF(Data!B2:B35,"Blume")</f>
        <v>13</v>
      </c>
      <c r="C18" s="10" t="n">
        <f aca="false">COUNTIF(Data!B2:B35,"blume-box")</f>
        <v>21</v>
      </c>
    </row>
    <row r="19" customFormat="false" ht="15" hidden="false" customHeight="false" outlineLevel="0" collapsed="false">
      <c r="A19" s="7" t="s">
        <v>100</v>
      </c>
      <c r="B19" s="10" t="n">
        <f aca="false">COUNTIFS(Data!B2:B35,"Blume",Data!G2:G35,TRUE())</f>
        <v>11</v>
      </c>
      <c r="C19" s="10" t="n">
        <f aca="false">COUNTIFS(Data!B2:B35,"blume-box",Data!G2:G35,TRUE())</f>
        <v>5</v>
      </c>
    </row>
    <row r="20" customFormat="false" ht="15" hidden="false" customHeight="false" outlineLevel="0" collapsed="false">
      <c r="A20" s="7" t="s">
        <v>101</v>
      </c>
      <c r="B20" s="13" t="n">
        <f aca="false">B19/B18</f>
        <v>0.846153846153846</v>
      </c>
      <c r="C20" s="13" t="n">
        <f aca="false">C19/C18</f>
        <v>0.238095238095238</v>
      </c>
    </row>
    <row r="21" customFormat="false" ht="15" hidden="false" customHeight="false" outlineLevel="0" collapsed="false">
      <c r="A21" s="7" t="s">
        <v>102</v>
      </c>
      <c r="B21" s="11" t="n">
        <f aca="false">AVERAGEIF(Data!B2:B35,"Blume",Data!D2:D35)</f>
        <v>88.8615384615385</v>
      </c>
      <c r="C21" s="11" t="n">
        <f aca="false">AVERAGEIF(Data!B2:B35,"blume-box",Data!D2:D35)</f>
        <v>58.9238095238095</v>
      </c>
    </row>
    <row r="22" customFormat="false" ht="15" hidden="false" customHeight="false" outlineLevel="0" collapsed="false">
      <c r="A22" s="7" t="s">
        <v>103</v>
      </c>
      <c r="B22" s="13" t="n">
        <f aca="false">AVERAGEIFS(Data!L2:L35,Data!B2:B35,"Blume",Data!G2:G35,TRUE())/100</f>
        <v>0.288454545454545</v>
      </c>
      <c r="C22" s="13" t="n">
        <f aca="false">AVERAGEIFS(Data!L2:L35,Data!B2:B35,"blume-box",Data!G2:G35,TRUE())/100</f>
        <v>0.689</v>
      </c>
    </row>
    <row r="24" customFormat="false" ht="15" hidden="false" customHeight="false" outlineLevel="0" collapsed="false">
      <c r="A24" s="6" t="s">
        <v>104</v>
      </c>
      <c r="B24" s="6"/>
      <c r="C24" s="6"/>
      <c r="D24" s="6"/>
    </row>
    <row r="25" customFormat="false" ht="15" hidden="false" customHeight="false" outlineLevel="0" collapsed="false">
      <c r="A25" s="7" t="s">
        <v>105</v>
      </c>
      <c r="B25" s="10" t="n">
        <f aca="false">MAX(0,B19-ROUND(B18*B7,0))</f>
        <v>8</v>
      </c>
    </row>
    <row r="26" customFormat="false" ht="15" hidden="false" customHeight="false" outlineLevel="0" collapsed="false">
      <c r="A26" s="7" t="s">
        <v>106</v>
      </c>
      <c r="B26" s="11" t="n">
        <f aca="false">B22*B21</f>
        <v>25.6325146853147</v>
      </c>
    </row>
    <row r="27" customFormat="false" ht="15" hidden="false" customHeight="false" outlineLevel="0" collapsed="false">
      <c r="A27" s="7" t="s">
        <v>107</v>
      </c>
      <c r="B27" s="11" t="n">
        <f aca="false">B25*B26*B5</f>
        <v>6151.80352447553</v>
      </c>
    </row>
    <row r="28" customFormat="false" ht="15" hidden="false" customHeight="false" outlineLevel="0" collapsed="false">
      <c r="A28" s="12" t="s">
        <v>108</v>
      </c>
      <c r="B28" s="14" t="n">
        <f aca="false">B27*12</f>
        <v>73821.6422937063</v>
      </c>
    </row>
    <row r="30" customFormat="false" ht="15" hidden="false" customHeight="false" outlineLevel="0" collapsed="false">
      <c r="A30" s="6" t="s">
        <v>109</v>
      </c>
      <c r="B30" s="6"/>
      <c r="C30" s="6"/>
      <c r="D30" s="6"/>
    </row>
    <row r="31" customFormat="false" ht="15" hidden="false" customHeight="false" outlineLevel="0" collapsed="false">
      <c r="A31" s="7" t="s">
        <v>110</v>
      </c>
      <c r="B31" s="8" t="n">
        <v>3</v>
      </c>
    </row>
    <row r="32" customFormat="false" ht="15" hidden="false" customHeight="false" outlineLevel="0" collapsed="false">
      <c r="A32" s="7" t="s">
        <v>111</v>
      </c>
      <c r="B32" s="11" t="n">
        <f aca="false">AVERAGEIF(Data!C2:C35,"Bundle",Data!D2:D35)</f>
        <v>56.3818181818182</v>
      </c>
    </row>
    <row r="33" customFormat="false" ht="15" hidden="false" customHeight="false" outlineLevel="0" collapsed="false">
      <c r="A33" s="7" t="s">
        <v>112</v>
      </c>
      <c r="B33" s="11" t="n">
        <f aca="false">B31*B32*B5</f>
        <v>5074.36363636364</v>
      </c>
    </row>
    <row r="34" customFormat="false" ht="15" hidden="false" customHeight="false" outlineLevel="0" collapsed="false">
      <c r="A34" s="12" t="s">
        <v>113</v>
      </c>
      <c r="B34" s="15" t="n">
        <f aca="false">B33*12</f>
        <v>60892.3636363637</v>
      </c>
    </row>
    <row r="36" customFormat="false" ht="15" hidden="false" customHeight="false" outlineLevel="0" collapsed="false">
      <c r="A36" s="16" t="s">
        <v>114</v>
      </c>
      <c r="B36" s="16"/>
      <c r="C36" s="16"/>
      <c r="D36" s="16"/>
    </row>
  </sheetData>
  <mergeCells count="6">
    <mergeCell ref="A4:D4"/>
    <mergeCell ref="A9:D9"/>
    <mergeCell ref="A16:D16"/>
    <mergeCell ref="A24:D24"/>
    <mergeCell ref="A30:D30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2026-06-13T07:12:41Z</dcterms:created>
  <dc:creator/>
  <dc:description/>
  <dc:language>en-US</dc:language>
  <cp:lastModifiedBy/>
  <dcterms:modified xsi:type="dcterms:W3CDTF">2026-06-13T07:12:41Z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